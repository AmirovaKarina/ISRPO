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ivang\Downloads\Telegram Desktop\"/>
    </mc:Choice>
  </mc:AlternateContent>
  <xr:revisionPtr revIDLastSave="0" documentId="13_ncr:1_{2DB25345-C236-4097-9EFB-F69980FCD880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uthors" sheetId="1" r:id="rId1"/>
    <sheet name="TypesOfProducts" sheetId="2" r:id="rId2"/>
    <sheet name="Orders" sheetId="3" r:id="rId3"/>
    <sheet name="Customers" sheetId="4" r:id="rId4"/>
    <sheet name="Publications" sheetId="5" r:id="rId5"/>
    <sheet name="Offices" sheetId="6" r:id="rId6"/>
    <sheet name="TypesOfCustomer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3" l="1"/>
  <c r="E4" i="3" s="1"/>
  <c r="E5" i="3" s="1"/>
  <c r="E6" i="3" s="1"/>
  <c r="E7" i="3" s="1"/>
  <c r="E8" i="3" s="1"/>
  <c r="E9" i="3" s="1"/>
  <c r="E10" i="3" s="1"/>
  <c r="E11" i="3" s="1"/>
  <c r="E12" i="3" s="1"/>
  <c r="E13" i="3" s="1"/>
  <c r="E14" i="3" s="1"/>
  <c r="E15" i="3" s="1"/>
  <c r="E16" i="3" s="1"/>
  <c r="E17" i="3" s="1"/>
  <c r="E18" i="3" s="1"/>
  <c r="E19" i="3" s="1"/>
  <c r="E20" i="3" s="1"/>
  <c r="E21" i="3" s="1"/>
</calcChain>
</file>

<file path=xl/sharedStrings.xml><?xml version="1.0" encoding="utf-8"?>
<sst xmlns="http://schemas.openxmlformats.org/spreadsheetml/2006/main" count="198" uniqueCount="185">
  <si>
    <t>Бегинина</t>
  </si>
  <si>
    <t>Биренюк</t>
  </si>
  <si>
    <t>Екатерина</t>
  </si>
  <si>
    <t>Волошин</t>
  </si>
  <si>
    <t>Игорь</t>
  </si>
  <si>
    <t>Грин</t>
  </si>
  <si>
    <t>Джон</t>
  </si>
  <si>
    <t>Игнатьева</t>
  </si>
  <si>
    <t>Ирина</t>
  </si>
  <si>
    <t>Стивен</t>
  </si>
  <si>
    <t>Коллинз</t>
  </si>
  <si>
    <t>Сьюзан</t>
  </si>
  <si>
    <t>Копейкина</t>
  </si>
  <si>
    <t>Валерия</t>
  </si>
  <si>
    <t>Роулинг</t>
  </si>
  <si>
    <t>Джоан</t>
  </si>
  <si>
    <t>Александр</t>
  </si>
  <si>
    <t>Эшер</t>
  </si>
  <si>
    <t>Джей</t>
  </si>
  <si>
    <t>Surname</t>
  </si>
  <si>
    <t>Name</t>
  </si>
  <si>
    <t>Address</t>
  </si>
  <si>
    <t>Кинг</t>
  </si>
  <si>
    <t>Шипарев</t>
  </si>
  <si>
    <t>Александра</t>
  </si>
  <si>
    <t>United States, New York, Hudson Street, 345</t>
  </si>
  <si>
    <t>United States, New York, Hudson Street, 375</t>
  </si>
  <si>
    <t>Россия, Белгород, ул. Курская, д. 38, кв. 10</t>
  </si>
  <si>
    <t>Россия, Таганрог, ул. Греческая, д. 38, кв. 10</t>
  </si>
  <si>
    <t>Россия, Таганрог, ул. Ленина, д. 115, кв. 8</t>
  </si>
  <si>
    <t>ДНР, Донецк, ул. Университетская, д. 125, кв. 10</t>
  </si>
  <si>
    <t>United States, Bangor, Florida Avenue, 49</t>
  </si>
  <si>
    <t>United States, Valley Village, Suite 103</t>
  </si>
  <si>
    <t>Россия, Ростов-на-Дону, ул. Большая Садовая, д. 125, кв. 4</t>
  </si>
  <si>
    <t>London, England, Soho Avenue 38</t>
  </si>
  <si>
    <t>Россия, Ростов-на-Дону, ул. Береговая, д. 6, кв. 115</t>
  </si>
  <si>
    <t>Буклет</t>
  </si>
  <si>
    <t>Журнал</t>
  </si>
  <si>
    <t>Брошюра</t>
  </si>
  <si>
    <t>Листовка</t>
  </si>
  <si>
    <t>Плакат</t>
  </si>
  <si>
    <t>Каталог</t>
  </si>
  <si>
    <t>Книга</t>
  </si>
  <si>
    <t>Календарь</t>
  </si>
  <si>
    <t>Наклейки</t>
  </si>
  <si>
    <t>Папка</t>
  </si>
  <si>
    <t>Карта</t>
  </si>
  <si>
    <t>Визитка</t>
  </si>
  <si>
    <t>Customer</t>
  </si>
  <si>
    <t>Publication</t>
  </si>
  <si>
    <t>Книжный магазин "Читай Город"</t>
  </si>
  <si>
    <t>Книжный магазин "Буклет"</t>
  </si>
  <si>
    <t>Книжный магазин "Букинист"</t>
  </si>
  <si>
    <t>Книжный магазин "Любимая книга"</t>
  </si>
  <si>
    <t>Никополь И. П.</t>
  </si>
  <si>
    <t>Анаев А. Д.</t>
  </si>
  <si>
    <t>Гелий С. А.</t>
  </si>
  <si>
    <t>Лавин А. С.</t>
  </si>
  <si>
    <t>Кураев И. В.</t>
  </si>
  <si>
    <t>"Зелёная миля"</t>
  </si>
  <si>
    <t>"Оно"</t>
  </si>
  <si>
    <t>"Кладбище домашних животных"</t>
  </si>
  <si>
    <t>"Ловец снов"</t>
  </si>
  <si>
    <t>"Возрождение"</t>
  </si>
  <si>
    <t>"Фантастическае твари и где они обитают"</t>
  </si>
  <si>
    <t>"На службе зла"</t>
  </si>
  <si>
    <t>"Гарри Поттер и философский камень"</t>
  </si>
  <si>
    <t>"Гарри Поттер и Кубок Огня"</t>
  </si>
  <si>
    <t>"Гарри Поттер и Орден Феникса"</t>
  </si>
  <si>
    <t>"Гарри Поттер и Дары Смерти"</t>
  </si>
  <si>
    <t>"Casual"</t>
  </si>
  <si>
    <t>"М О Д А +"</t>
  </si>
  <si>
    <t>"A V O N"</t>
  </si>
  <si>
    <t>"Music Plus"</t>
  </si>
  <si>
    <t>Реклама магазина "iStore"</t>
  </si>
  <si>
    <t>Туристическое агенство "PRADA"</t>
  </si>
  <si>
    <t>"Бумажные города"</t>
  </si>
  <si>
    <t>"13 причин почему"</t>
  </si>
  <si>
    <t>"Голодные игры"</t>
  </si>
  <si>
    <t>Price</t>
  </si>
  <si>
    <t>Office</t>
  </si>
  <si>
    <t>DateOfAdmission</t>
  </si>
  <si>
    <t>DateOfCompletion</t>
  </si>
  <si>
    <t>ООО "ВОЛЬФ ТИПОГРАФИЯ"</t>
  </si>
  <si>
    <t>"МОСКВА"</t>
  </si>
  <si>
    <t>"Рекламный квартал"</t>
  </si>
  <si>
    <t>ООО "РусПринтСтудия"</t>
  </si>
  <si>
    <t>"РОСТОВСКАЯ ГОРОДСКАЯ ТИПОГРАФИЯ"</t>
  </si>
  <si>
    <t>"КАТРАН КПК"</t>
  </si>
  <si>
    <t>"ПРИНТ ПЛЮС"</t>
  </si>
  <si>
    <t>"ЦИФРОВАЯ ТИПОГРАФИЯ"</t>
  </si>
  <si>
    <t>"Ardy"</t>
  </si>
  <si>
    <t>"Ice Print"</t>
  </si>
  <si>
    <t>"Веритакс"</t>
  </si>
  <si>
    <t>Типография "ТЭС"</t>
  </si>
  <si>
    <t>"Триада-М"</t>
  </si>
  <si>
    <t>"Universal Print"</t>
  </si>
  <si>
    <t>"ТВОРИ"</t>
  </si>
  <si>
    <t>"ТИПОГРАФИЯ №1"</t>
  </si>
  <si>
    <t>Городская типография "Санкт-Петербург"</t>
  </si>
  <si>
    <t>Type</t>
  </si>
  <si>
    <t>Phone</t>
  </si>
  <si>
    <t>Частное лицо</t>
  </si>
  <si>
    <t>Организация</t>
  </si>
  <si>
    <t>+7 (919) 457-15-55</t>
  </si>
  <si>
    <t>Россия, Ростов-на-Дону, ул. Большая Садовая, д. 215</t>
  </si>
  <si>
    <t>+7 (949) 322-01-01</t>
  </si>
  <si>
    <t>+7 (949) 091-18-90</t>
  </si>
  <si>
    <t>+7 (928) 016-15-08</t>
  </si>
  <si>
    <t>ДНР, Макеевка, просп. 250-летия Донбасса, 4А</t>
  </si>
  <si>
    <t>ДНР, Макеевка, ул. Свердлова, 129</t>
  </si>
  <si>
    <t>Россия, Белгород, ул. Ленина, д. 45</t>
  </si>
  <si>
    <t>+7 (985) 475-02-11</t>
  </si>
  <si>
    <t>+7 (949) 315-18-05</t>
  </si>
  <si>
    <t>+7 (919) 230-98-95</t>
  </si>
  <si>
    <t>+7 (949) 231-22-33</t>
  </si>
  <si>
    <t>+7 (918) 455-21-11</t>
  </si>
  <si>
    <t>Россия, Москва, пер. Газетный, д. 218</t>
  </si>
  <si>
    <t>ДНР, Макеевка, ул. Ленина, д. 215</t>
  </si>
  <si>
    <t>Россия, Ростов-на-Дону, ул. Береговая, д. 7</t>
  </si>
  <si>
    <t>ДНР, Донецк, ул. Ленина, д. 288</t>
  </si>
  <si>
    <t>Россия, Таганрог, ул. Горького, д. 105</t>
  </si>
  <si>
    <t>Id_Publication</t>
  </si>
  <si>
    <t>Author</t>
  </si>
  <si>
    <t>ReleaseYear</t>
  </si>
  <si>
    <t>VolumeOfSheets</t>
  </si>
  <si>
    <t>Circulation</t>
  </si>
  <si>
    <t>Id_Office</t>
  </si>
  <si>
    <t>Id_Customer</t>
  </si>
  <si>
    <t>Id_Type</t>
  </si>
  <si>
    <t>Id_Order</t>
  </si>
  <si>
    <t>Id_Author</t>
  </si>
  <si>
    <t>Россия, Москва, ул. Ленина, стр. 1, корп. 2</t>
  </si>
  <si>
    <t>Россия, Таганрог, ул. Греческая, д. 205</t>
  </si>
  <si>
    <t>Россия, Белгород, ул. Курская, д. 58</t>
  </si>
  <si>
    <t>Россия, Ростов-на-Дону, ул. Большая Садовая, д. 218</t>
  </si>
  <si>
    <t>Россия, Ростов-на-Дону, ул. Береговая, д. 5</t>
  </si>
  <si>
    <t>+7 (918) 455-18-22</t>
  </si>
  <si>
    <t>ДНР, Донецк, ул. Университетская, д. 125</t>
  </si>
  <si>
    <t>ДНР, Макеевка, ул. Московская, 121</t>
  </si>
  <si>
    <t>+7 (928) 021-45-48</t>
  </si>
  <si>
    <t>Россия, Ростов-на-Дону, ул. Михаила Нагибина, д. 308А</t>
  </si>
  <si>
    <t>Россия, Москва, ул. Габаритная, д. 212Б</t>
  </si>
  <si>
    <t>+7 (995) 475-02-11</t>
  </si>
  <si>
    <t>Россия, Ростов-на-Дону, пр. Ворошиловский, д. 59</t>
  </si>
  <si>
    <t>+7 (919) 198-08-05</t>
  </si>
  <si>
    <t>+7 (919) 123-12-13</t>
  </si>
  <si>
    <t>+7 (919) 189-28-25</t>
  </si>
  <si>
    <t>Россия, Санкт-Петербург, ул. Восстания, 1</t>
  </si>
  <si>
    <t>+7 (985) 478-48-54</t>
  </si>
  <si>
    <t>Россия, Таганрог, ул. Петровская, д. 22</t>
  </si>
  <si>
    <t>+7 (918) 231-08-12</t>
  </si>
  <si>
    <t>Россия, Таганрог, пер. Гарибальди, д. 9</t>
  </si>
  <si>
    <t>+7 (918) 222-01-02</t>
  </si>
  <si>
    <t>Россия, Таганрог, ул. Октябрьская, д. 35</t>
  </si>
  <si>
    <t>+7 (918) 331-38-22</t>
  </si>
  <si>
    <t>ДНР, Харцызск, ул. Ленина, д. 12</t>
  </si>
  <si>
    <t>+7 (949) 228-88-55</t>
  </si>
  <si>
    <t>+7 (949) 444-12-12</t>
  </si>
  <si>
    <t>+7 (949) 648-15-05</t>
  </si>
  <si>
    <t>ДНР, Донецк, ул. Артёма, д. 225</t>
  </si>
  <si>
    <t>ДНР, Донецк, ул. Щорса, д. 17</t>
  </si>
  <si>
    <t>,</t>
  </si>
  <si>
    <t>Id_TypeCuctomer</t>
  </si>
  <si>
    <t>TypeCustomer</t>
  </si>
  <si>
    <t>Заказ1</t>
  </si>
  <si>
    <t>Заказ2</t>
  </si>
  <si>
    <t>Заказ3</t>
  </si>
  <si>
    <t>Заказ4</t>
  </si>
  <si>
    <t>Заказ5</t>
  </si>
  <si>
    <t>Заказ6</t>
  </si>
  <si>
    <t>Заказ7</t>
  </si>
  <si>
    <t>Заказ8</t>
  </si>
  <si>
    <t>Заказ9</t>
  </si>
  <si>
    <t>Заказ10</t>
  </si>
  <si>
    <t>Заказ11</t>
  </si>
  <si>
    <t>Заказ12</t>
  </si>
  <si>
    <t>Заказ13</t>
  </si>
  <si>
    <t>Заказ14</t>
  </si>
  <si>
    <t>Заказ15</t>
  </si>
  <si>
    <t>Заказ16</t>
  </si>
  <si>
    <t>Заказ17</t>
  </si>
  <si>
    <t>Заказ18</t>
  </si>
  <si>
    <t>Заказ19</t>
  </si>
  <si>
    <t>Заказ20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</si>
</sst>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2" fontId="0" fillId="0" borderId="1" xfId="0" applyNumberFormat="1" applyBorder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D21" sqref="D21"/>
    </sheetView>
  </sheetViews>
  <sheetFormatPr defaultRowHeight="15" x14ac:dyDescent="0.25"/>
  <cols>
    <col min="1" max="1" width="9.85546875" bestFit="1" customWidth="1"/>
    <col min="2" max="2" width="12.85546875" customWidth="1"/>
    <col min="3" max="3" width="14.5703125" customWidth="1"/>
    <col min="4" max="4" width="53.28515625" customWidth="1"/>
  </cols>
  <sheetData>
    <row r="1" spans="1:4" x14ac:dyDescent="0.25">
      <c r="A1" s="1" t="s">
        <v>131</v>
      </c>
      <c r="B1" s="1" t="s">
        <v>19</v>
      </c>
      <c r="C1" s="1" t="s">
        <v>20</v>
      </c>
      <c r="D1" s="1" t="s">
        <v>21</v>
      </c>
    </row>
    <row r="2" spans="1:4" x14ac:dyDescent="0.25">
      <c r="A2" s="2">
        <v>1</v>
      </c>
      <c r="B2" s="2" t="s">
        <v>0</v>
      </c>
      <c r="C2" s="2" t="s">
        <v>24</v>
      </c>
      <c r="D2" s="2" t="s">
        <v>30</v>
      </c>
    </row>
    <row r="3" spans="1:4" x14ac:dyDescent="0.25">
      <c r="A3" s="2">
        <v>2</v>
      </c>
      <c r="B3" s="2" t="s">
        <v>1</v>
      </c>
      <c r="C3" s="2" t="s">
        <v>2</v>
      </c>
      <c r="D3" s="2" t="s">
        <v>29</v>
      </c>
    </row>
    <row r="4" spans="1:4" x14ac:dyDescent="0.25">
      <c r="A4" s="2">
        <v>3</v>
      </c>
      <c r="B4" s="2" t="s">
        <v>3</v>
      </c>
      <c r="C4" s="2" t="s">
        <v>4</v>
      </c>
      <c r="D4" s="2" t="s">
        <v>28</v>
      </c>
    </row>
    <row r="5" spans="1:4" x14ac:dyDescent="0.25">
      <c r="A5" s="2">
        <v>4</v>
      </c>
      <c r="B5" s="2" t="s">
        <v>5</v>
      </c>
      <c r="C5" s="2" t="s">
        <v>6</v>
      </c>
      <c r="D5" s="2" t="s">
        <v>25</v>
      </c>
    </row>
    <row r="6" spans="1:4" x14ac:dyDescent="0.25">
      <c r="A6" s="2">
        <v>5</v>
      </c>
      <c r="B6" s="2" t="s">
        <v>7</v>
      </c>
      <c r="C6" s="2" t="s">
        <v>8</v>
      </c>
      <c r="D6" s="2" t="s">
        <v>27</v>
      </c>
    </row>
    <row r="7" spans="1:4" x14ac:dyDescent="0.25">
      <c r="A7" s="2">
        <v>6</v>
      </c>
      <c r="B7" s="2" t="s">
        <v>22</v>
      </c>
      <c r="C7" s="2" t="s">
        <v>9</v>
      </c>
      <c r="D7" s="2" t="s">
        <v>31</v>
      </c>
    </row>
    <row r="8" spans="1:4" x14ac:dyDescent="0.25">
      <c r="A8" s="2">
        <v>7</v>
      </c>
      <c r="B8" s="2" t="s">
        <v>10</v>
      </c>
      <c r="C8" s="2" t="s">
        <v>11</v>
      </c>
      <c r="D8" s="2" t="s">
        <v>32</v>
      </c>
    </row>
    <row r="9" spans="1:4" x14ac:dyDescent="0.25">
      <c r="A9" s="2">
        <v>8</v>
      </c>
      <c r="B9" s="2" t="s">
        <v>12</v>
      </c>
      <c r="C9" s="2" t="s">
        <v>13</v>
      </c>
      <c r="D9" s="2" t="s">
        <v>33</v>
      </c>
    </row>
    <row r="10" spans="1:4" x14ac:dyDescent="0.25">
      <c r="A10" s="2">
        <v>9</v>
      </c>
      <c r="B10" s="2" t="s">
        <v>14</v>
      </c>
      <c r="C10" s="2" t="s">
        <v>15</v>
      </c>
      <c r="D10" s="2" t="s">
        <v>34</v>
      </c>
    </row>
    <row r="11" spans="1:4" x14ac:dyDescent="0.25">
      <c r="A11" s="2">
        <v>10</v>
      </c>
      <c r="B11" s="2" t="s">
        <v>23</v>
      </c>
      <c r="C11" s="2" t="s">
        <v>16</v>
      </c>
      <c r="D11" s="2" t="s">
        <v>35</v>
      </c>
    </row>
    <row r="12" spans="1:4" x14ac:dyDescent="0.25">
      <c r="A12" s="2">
        <v>11</v>
      </c>
      <c r="B12" s="2" t="s">
        <v>17</v>
      </c>
      <c r="C12" s="2" t="s">
        <v>18</v>
      </c>
      <c r="D12" s="2" t="s">
        <v>26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5CCE3-DC85-4FDA-B5D5-04CAE85899DC}">
  <dimension ref="A1:B13"/>
  <sheetViews>
    <sheetView workbookViewId="0">
      <selection sqref="A1:B3"/>
    </sheetView>
  </sheetViews>
  <sheetFormatPr defaultRowHeight="15" x14ac:dyDescent="0.25"/>
  <cols>
    <col min="2" max="2" width="15.7109375" customWidth="1"/>
  </cols>
  <sheetData>
    <row r="1" spans="1:2" x14ac:dyDescent="0.25">
      <c r="A1" s="1" t="s">
        <v>129</v>
      </c>
      <c r="B1" s="1" t="s">
        <v>100</v>
      </c>
    </row>
    <row r="2" spans="1:2" x14ac:dyDescent="0.25">
      <c r="A2" s="2">
        <v>1</v>
      </c>
      <c r="B2" s="2" t="s">
        <v>36</v>
      </c>
    </row>
    <row r="3" spans="1:2" x14ac:dyDescent="0.25">
      <c r="A3" s="2">
        <v>2</v>
      </c>
      <c r="B3" s="2" t="s">
        <v>37</v>
      </c>
    </row>
    <row r="4" spans="1:2" x14ac:dyDescent="0.25">
      <c r="A4" s="2">
        <v>3</v>
      </c>
      <c r="B4" s="2" t="s">
        <v>38</v>
      </c>
    </row>
    <row r="5" spans="1:2" x14ac:dyDescent="0.25">
      <c r="A5" s="2">
        <v>4</v>
      </c>
      <c r="B5" s="2" t="s">
        <v>39</v>
      </c>
    </row>
    <row r="6" spans="1:2" x14ac:dyDescent="0.25">
      <c r="A6" s="2">
        <v>5</v>
      </c>
      <c r="B6" s="2" t="s">
        <v>40</v>
      </c>
    </row>
    <row r="7" spans="1:2" x14ac:dyDescent="0.25">
      <c r="A7" s="2">
        <v>6</v>
      </c>
      <c r="B7" s="2" t="s">
        <v>41</v>
      </c>
    </row>
    <row r="8" spans="1:2" x14ac:dyDescent="0.25">
      <c r="A8" s="2">
        <v>7</v>
      </c>
      <c r="B8" s="2" t="s">
        <v>42</v>
      </c>
    </row>
    <row r="9" spans="1:2" x14ac:dyDescent="0.25">
      <c r="A9" s="2">
        <v>8</v>
      </c>
      <c r="B9" s="2" t="s">
        <v>43</v>
      </c>
    </row>
    <row r="10" spans="1:2" x14ac:dyDescent="0.25">
      <c r="A10" s="2">
        <v>9</v>
      </c>
      <c r="B10" s="2" t="s">
        <v>44</v>
      </c>
    </row>
    <row r="11" spans="1:2" x14ac:dyDescent="0.25">
      <c r="A11" s="2">
        <v>10</v>
      </c>
      <c r="B11" s="2" t="s">
        <v>45</v>
      </c>
    </row>
    <row r="12" spans="1:2" x14ac:dyDescent="0.25">
      <c r="A12" s="2">
        <v>11</v>
      </c>
      <c r="B12" s="2" t="s">
        <v>46</v>
      </c>
    </row>
    <row r="13" spans="1:2" x14ac:dyDescent="0.25">
      <c r="A13" s="2">
        <v>12</v>
      </c>
      <c r="B13" s="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3C9D-B85C-41AF-A1D8-1677D1722D12}">
  <dimension ref="A1:I23"/>
  <sheetViews>
    <sheetView tabSelected="1" workbookViewId="0">
      <selection activeCell="C31" sqref="C31"/>
    </sheetView>
  </sheetViews>
  <sheetFormatPr defaultRowHeight="15" x14ac:dyDescent="0.25"/>
  <cols>
    <col min="2" max="2" width="32.28515625" customWidth="1"/>
    <col min="3" max="3" width="11.42578125" customWidth="1"/>
    <col min="4" max="4" width="37.7109375" customWidth="1"/>
    <col min="5" max="5" width="36.7109375" customWidth="1"/>
    <col min="6" max="6" width="17.5703125" customWidth="1"/>
    <col min="7" max="7" width="17.85546875" customWidth="1"/>
    <col min="8" max="8" width="17.7109375" customWidth="1"/>
    <col min="9" max="9" width="26.28515625" customWidth="1"/>
  </cols>
  <sheetData>
    <row r="1" spans="1:9" x14ac:dyDescent="0.25">
      <c r="A1" s="1" t="s">
        <v>130</v>
      </c>
      <c r="B1" s="1" t="s">
        <v>20</v>
      </c>
      <c r="C1" s="1" t="s">
        <v>48</v>
      </c>
      <c r="D1" s="1" t="s">
        <v>100</v>
      </c>
      <c r="E1" s="1" t="s">
        <v>49</v>
      </c>
      <c r="F1" s="1" t="s">
        <v>80</v>
      </c>
      <c r="G1" s="1" t="s">
        <v>81</v>
      </c>
      <c r="H1" s="1" t="s">
        <v>82</v>
      </c>
      <c r="I1" s="1" t="s">
        <v>79</v>
      </c>
    </row>
    <row r="2" spans="1:9" x14ac:dyDescent="0.25">
      <c r="A2" s="2">
        <v>1</v>
      </c>
      <c r="B2" s="2" t="s">
        <v>165</v>
      </c>
      <c r="C2" s="5">
        <v>1</v>
      </c>
      <c r="D2" s="5">
        <v>7</v>
      </c>
      <c r="E2" s="5">
        <v>1</v>
      </c>
      <c r="F2" s="5">
        <v>1</v>
      </c>
      <c r="G2" s="3">
        <v>45444</v>
      </c>
      <c r="H2" s="3">
        <v>45474</v>
      </c>
      <c r="I2" s="6">
        <v>375</v>
      </c>
    </row>
    <row r="3" spans="1:9" x14ac:dyDescent="0.25">
      <c r="A3" s="2">
        <v>2</v>
      </c>
      <c r="B3" s="2" t="s">
        <v>166</v>
      </c>
      <c r="C3" s="5">
        <v>1</v>
      </c>
      <c r="D3" s="5">
        <v>7</v>
      </c>
      <c r="E3" s="5">
        <f>E2+1</f>
        <v>2</v>
      </c>
      <c r="F3" s="5">
        <v>2</v>
      </c>
      <c r="G3" s="3">
        <v>45449</v>
      </c>
      <c r="H3" s="3">
        <v>45479</v>
      </c>
      <c r="I3" s="6">
        <v>1345</v>
      </c>
    </row>
    <row r="4" spans="1:9" x14ac:dyDescent="0.25">
      <c r="A4" s="2">
        <v>3</v>
      </c>
      <c r="B4" s="2" t="s">
        <v>167</v>
      </c>
      <c r="C4" s="5">
        <v>1</v>
      </c>
      <c r="D4" s="5">
        <v>7</v>
      </c>
      <c r="E4" s="5">
        <f t="shared" ref="E4:E21" si="0">E3+1</f>
        <v>3</v>
      </c>
      <c r="F4" s="5">
        <v>3</v>
      </c>
      <c r="G4" s="3">
        <v>45458</v>
      </c>
      <c r="H4" s="3">
        <v>45488</v>
      </c>
      <c r="I4" s="6">
        <v>450</v>
      </c>
    </row>
    <row r="5" spans="1:9" x14ac:dyDescent="0.25">
      <c r="A5" s="2">
        <v>4</v>
      </c>
      <c r="B5" s="2" t="s">
        <v>168</v>
      </c>
      <c r="C5" s="5">
        <v>1</v>
      </c>
      <c r="D5" s="5">
        <v>7</v>
      </c>
      <c r="E5" s="5">
        <f t="shared" si="0"/>
        <v>4</v>
      </c>
      <c r="F5" s="5">
        <v>4</v>
      </c>
      <c r="G5" s="3">
        <v>45464</v>
      </c>
      <c r="H5" s="3">
        <v>45494</v>
      </c>
      <c r="I5" s="6">
        <v>388</v>
      </c>
    </row>
    <row r="6" spans="1:9" x14ac:dyDescent="0.25">
      <c r="A6" s="2">
        <v>5</v>
      </c>
      <c r="B6" s="2" t="s">
        <v>169</v>
      </c>
      <c r="C6" s="5">
        <v>1</v>
      </c>
      <c r="D6" s="5">
        <v>7</v>
      </c>
      <c r="E6" s="5">
        <f t="shared" si="0"/>
        <v>5</v>
      </c>
      <c r="F6" s="5">
        <v>5</v>
      </c>
      <c r="G6" s="3">
        <v>45473</v>
      </c>
      <c r="H6" s="3">
        <v>45503</v>
      </c>
      <c r="I6" s="6">
        <v>468</v>
      </c>
    </row>
    <row r="7" spans="1:9" x14ac:dyDescent="0.25">
      <c r="A7" s="2">
        <v>6</v>
      </c>
      <c r="B7" s="2" t="s">
        <v>170</v>
      </c>
      <c r="C7" s="5">
        <v>2</v>
      </c>
      <c r="D7" s="5">
        <v>7</v>
      </c>
      <c r="E7" s="5">
        <f t="shared" si="0"/>
        <v>6</v>
      </c>
      <c r="F7" s="5">
        <v>6</v>
      </c>
      <c r="G7" s="3">
        <v>45476</v>
      </c>
      <c r="H7" s="3">
        <v>45507</v>
      </c>
      <c r="I7" s="6">
        <v>856</v>
      </c>
    </row>
    <row r="8" spans="1:9" x14ac:dyDescent="0.25">
      <c r="A8" s="2">
        <v>7</v>
      </c>
      <c r="B8" s="2" t="s">
        <v>171</v>
      </c>
      <c r="C8" s="5">
        <v>2</v>
      </c>
      <c r="D8" s="5">
        <v>7</v>
      </c>
      <c r="E8" s="5">
        <f t="shared" si="0"/>
        <v>7</v>
      </c>
      <c r="F8" s="5">
        <v>7</v>
      </c>
      <c r="G8" s="3">
        <v>45482</v>
      </c>
      <c r="H8" s="3">
        <v>45513</v>
      </c>
      <c r="I8" s="6">
        <v>748</v>
      </c>
    </row>
    <row r="9" spans="1:9" x14ac:dyDescent="0.25">
      <c r="A9" s="2">
        <v>8</v>
      </c>
      <c r="B9" s="2" t="s">
        <v>172</v>
      </c>
      <c r="C9" s="5">
        <v>2</v>
      </c>
      <c r="D9" s="5">
        <v>7</v>
      </c>
      <c r="E9" s="5">
        <f t="shared" si="0"/>
        <v>8</v>
      </c>
      <c r="F9" s="5">
        <v>8</v>
      </c>
      <c r="G9" s="3">
        <v>45488</v>
      </c>
      <c r="H9" s="3">
        <v>45519</v>
      </c>
      <c r="I9" s="6">
        <v>935</v>
      </c>
    </row>
    <row r="10" spans="1:9" x14ac:dyDescent="0.25">
      <c r="A10" s="2">
        <v>9</v>
      </c>
      <c r="B10" s="2" t="s">
        <v>173</v>
      </c>
      <c r="C10" s="5">
        <v>3</v>
      </c>
      <c r="D10" s="5">
        <v>7</v>
      </c>
      <c r="E10" s="5">
        <f t="shared" si="0"/>
        <v>9</v>
      </c>
      <c r="F10" s="5">
        <v>9</v>
      </c>
      <c r="G10" s="3">
        <v>45494</v>
      </c>
      <c r="H10" s="3">
        <v>45525</v>
      </c>
      <c r="I10" s="6">
        <v>1200</v>
      </c>
    </row>
    <row r="11" spans="1:9" x14ac:dyDescent="0.25">
      <c r="A11" s="2">
        <v>10</v>
      </c>
      <c r="B11" s="2" t="s">
        <v>174</v>
      </c>
      <c r="C11" s="5">
        <v>3</v>
      </c>
      <c r="D11" s="5">
        <v>7</v>
      </c>
      <c r="E11" s="5">
        <f t="shared" si="0"/>
        <v>10</v>
      </c>
      <c r="F11" s="5">
        <v>10</v>
      </c>
      <c r="G11" s="3">
        <v>45502</v>
      </c>
      <c r="H11" s="3">
        <v>45533</v>
      </c>
      <c r="I11" s="6">
        <v>845</v>
      </c>
    </row>
    <row r="12" spans="1:9" x14ac:dyDescent="0.25">
      <c r="A12" s="2">
        <v>11</v>
      </c>
      <c r="B12" s="2" t="s">
        <v>175</v>
      </c>
      <c r="C12" s="5">
        <v>3</v>
      </c>
      <c r="D12" s="5">
        <v>7</v>
      </c>
      <c r="E12" s="5">
        <f t="shared" si="0"/>
        <v>11</v>
      </c>
      <c r="F12" s="5">
        <v>11</v>
      </c>
      <c r="G12" s="3">
        <v>45503</v>
      </c>
      <c r="H12" s="3">
        <v>45534</v>
      </c>
      <c r="I12" s="6">
        <v>825</v>
      </c>
    </row>
    <row r="13" spans="1:9" x14ac:dyDescent="0.25">
      <c r="A13" s="2">
        <v>12</v>
      </c>
      <c r="B13" s="2" t="s">
        <v>176</v>
      </c>
      <c r="C13" s="5">
        <v>4</v>
      </c>
      <c r="D13" s="5">
        <v>7</v>
      </c>
      <c r="E13" s="5">
        <f t="shared" si="0"/>
        <v>12</v>
      </c>
      <c r="F13" s="5">
        <v>4</v>
      </c>
      <c r="G13" s="3">
        <v>45505</v>
      </c>
      <c r="H13" s="3">
        <v>45508</v>
      </c>
      <c r="I13" s="6">
        <v>954</v>
      </c>
    </row>
    <row r="14" spans="1:9" x14ac:dyDescent="0.25">
      <c r="A14" s="2">
        <v>13</v>
      </c>
      <c r="B14" s="2" t="s">
        <v>177</v>
      </c>
      <c r="C14" s="5">
        <v>4</v>
      </c>
      <c r="D14" s="5">
        <v>7</v>
      </c>
      <c r="E14" s="5">
        <f t="shared" si="0"/>
        <v>13</v>
      </c>
      <c r="F14" s="5">
        <v>12</v>
      </c>
      <c r="G14" s="3">
        <v>45506</v>
      </c>
      <c r="H14" s="3">
        <v>45510</v>
      </c>
      <c r="I14" s="6">
        <v>1150</v>
      </c>
    </row>
    <row r="15" spans="1:9" x14ac:dyDescent="0.25">
      <c r="A15" s="2">
        <v>14</v>
      </c>
      <c r="B15" s="2" t="s">
        <v>178</v>
      </c>
      <c r="C15" s="5">
        <v>4</v>
      </c>
      <c r="D15" s="5">
        <v>7</v>
      </c>
      <c r="E15" s="5">
        <f t="shared" si="0"/>
        <v>14</v>
      </c>
      <c r="F15" s="5">
        <v>6</v>
      </c>
      <c r="G15" s="3">
        <v>45511</v>
      </c>
      <c r="H15" s="3">
        <v>45515</v>
      </c>
      <c r="I15" s="6">
        <v>745</v>
      </c>
    </row>
    <row r="16" spans="1:9" x14ac:dyDescent="0.25">
      <c r="A16" s="2">
        <v>15</v>
      </c>
      <c r="B16" s="2" t="s">
        <v>179</v>
      </c>
      <c r="C16" s="5">
        <v>5</v>
      </c>
      <c r="D16" s="5">
        <v>2</v>
      </c>
      <c r="E16" s="5">
        <f t="shared" si="0"/>
        <v>15</v>
      </c>
      <c r="F16" s="5">
        <v>13</v>
      </c>
      <c r="G16" s="3">
        <v>45514</v>
      </c>
      <c r="H16" s="3">
        <v>45516</v>
      </c>
      <c r="I16" s="6">
        <v>320</v>
      </c>
    </row>
    <row r="17" spans="1:9" x14ac:dyDescent="0.25">
      <c r="A17" s="2">
        <v>16</v>
      </c>
      <c r="B17" s="2" t="s">
        <v>180</v>
      </c>
      <c r="C17" s="5">
        <v>5</v>
      </c>
      <c r="D17" s="5">
        <v>2</v>
      </c>
      <c r="E17" s="5">
        <f t="shared" si="0"/>
        <v>16</v>
      </c>
      <c r="F17" s="5">
        <v>14</v>
      </c>
      <c r="G17" s="3">
        <v>45515</v>
      </c>
      <c r="H17" s="3">
        <v>45516</v>
      </c>
      <c r="I17" s="6">
        <v>245</v>
      </c>
    </row>
    <row r="18" spans="1:9" x14ac:dyDescent="0.25">
      <c r="A18" s="2">
        <v>17</v>
      </c>
      <c r="B18" s="2" t="s">
        <v>181</v>
      </c>
      <c r="C18" s="5">
        <v>5</v>
      </c>
      <c r="D18" s="5">
        <v>2</v>
      </c>
      <c r="E18" s="5">
        <f t="shared" si="0"/>
        <v>17</v>
      </c>
      <c r="F18" s="5">
        <v>15</v>
      </c>
      <c r="G18" s="3">
        <v>45519</v>
      </c>
      <c r="H18" s="3">
        <v>45520</v>
      </c>
      <c r="I18" s="6">
        <v>198</v>
      </c>
    </row>
    <row r="19" spans="1:9" x14ac:dyDescent="0.25">
      <c r="A19" s="2">
        <v>18</v>
      </c>
      <c r="B19" s="2" t="s">
        <v>182</v>
      </c>
      <c r="C19" s="5">
        <v>5</v>
      </c>
      <c r="D19" s="5">
        <v>6</v>
      </c>
      <c r="E19" s="5">
        <f t="shared" si="0"/>
        <v>18</v>
      </c>
      <c r="F19" s="5">
        <v>16</v>
      </c>
      <c r="G19" s="3">
        <v>45529</v>
      </c>
      <c r="H19" s="3">
        <v>45560</v>
      </c>
      <c r="I19" s="6">
        <v>224</v>
      </c>
    </row>
    <row r="20" spans="1:9" x14ac:dyDescent="0.25">
      <c r="A20" s="2">
        <v>19</v>
      </c>
      <c r="B20" s="2" t="s">
        <v>183</v>
      </c>
      <c r="C20" s="5">
        <v>5</v>
      </c>
      <c r="D20" s="5">
        <v>4</v>
      </c>
      <c r="E20" s="5">
        <f t="shared" si="0"/>
        <v>19</v>
      </c>
      <c r="F20" s="5">
        <v>17</v>
      </c>
      <c r="G20" s="3">
        <v>45532</v>
      </c>
      <c r="H20" s="3">
        <v>45563</v>
      </c>
      <c r="I20" s="6">
        <v>158</v>
      </c>
    </row>
    <row r="21" spans="1:9" x14ac:dyDescent="0.25">
      <c r="A21" s="2">
        <v>20</v>
      </c>
      <c r="B21" s="2" t="s">
        <v>184</v>
      </c>
      <c r="C21" s="5">
        <v>5</v>
      </c>
      <c r="D21" s="5">
        <v>12</v>
      </c>
      <c r="E21" s="5">
        <f t="shared" si="0"/>
        <v>20</v>
      </c>
      <c r="F21" s="5">
        <v>3</v>
      </c>
      <c r="G21" s="3">
        <v>45534</v>
      </c>
      <c r="H21" s="3">
        <v>45565</v>
      </c>
      <c r="I21" s="6">
        <v>125</v>
      </c>
    </row>
    <row r="22" spans="1:9" x14ac:dyDescent="0.25">
      <c r="I22" s="7"/>
    </row>
    <row r="23" spans="1:9" x14ac:dyDescent="0.25">
      <c r="I23" s="7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DCFC5-561B-49A8-A366-5C50287E9C01}">
  <dimension ref="A1:E10"/>
  <sheetViews>
    <sheetView workbookViewId="0">
      <selection activeCell="F31" sqref="F31"/>
    </sheetView>
  </sheetViews>
  <sheetFormatPr defaultRowHeight="15" x14ac:dyDescent="0.25"/>
  <cols>
    <col min="1" max="1" width="12.28515625" bestFit="1" customWidth="1"/>
    <col min="2" max="2" width="32.7109375" bestFit="1" customWidth="1"/>
    <col min="3" max="3" width="14.140625" customWidth="1"/>
    <col min="4" max="4" width="46.7109375" customWidth="1"/>
    <col min="5" max="5" width="16.5703125" customWidth="1"/>
  </cols>
  <sheetData>
    <row r="1" spans="1:5" x14ac:dyDescent="0.25">
      <c r="A1" s="1" t="s">
        <v>128</v>
      </c>
      <c r="B1" s="1" t="s">
        <v>20</v>
      </c>
      <c r="C1" s="1" t="s">
        <v>100</v>
      </c>
      <c r="D1" s="1" t="s">
        <v>21</v>
      </c>
      <c r="E1" s="1" t="s">
        <v>101</v>
      </c>
    </row>
    <row r="2" spans="1:5" x14ac:dyDescent="0.25">
      <c r="A2" s="2">
        <v>1</v>
      </c>
      <c r="B2" s="2" t="s">
        <v>50</v>
      </c>
      <c r="C2" s="5">
        <v>1</v>
      </c>
      <c r="D2" s="2" t="s">
        <v>105</v>
      </c>
      <c r="E2" s="4" t="s">
        <v>104</v>
      </c>
    </row>
    <row r="3" spans="1:5" x14ac:dyDescent="0.25">
      <c r="A3" s="2">
        <v>2</v>
      </c>
      <c r="B3" s="2" t="s">
        <v>51</v>
      </c>
      <c r="C3" s="5">
        <v>1</v>
      </c>
      <c r="D3" s="2" t="s">
        <v>109</v>
      </c>
      <c r="E3" s="4" t="s">
        <v>106</v>
      </c>
    </row>
    <row r="4" spans="1:5" x14ac:dyDescent="0.25">
      <c r="A4" s="2">
        <v>3</v>
      </c>
      <c r="B4" s="2" t="s">
        <v>52</v>
      </c>
      <c r="C4" s="5">
        <v>1</v>
      </c>
      <c r="D4" s="2" t="s">
        <v>110</v>
      </c>
      <c r="E4" s="4" t="s">
        <v>107</v>
      </c>
    </row>
    <row r="5" spans="1:5" x14ac:dyDescent="0.25">
      <c r="A5" s="2">
        <v>4</v>
      </c>
      <c r="B5" s="2" t="s">
        <v>53</v>
      </c>
      <c r="C5" s="5">
        <v>1</v>
      </c>
      <c r="D5" s="2" t="s">
        <v>111</v>
      </c>
      <c r="E5" s="4" t="s">
        <v>108</v>
      </c>
    </row>
    <row r="6" spans="1:5" x14ac:dyDescent="0.25">
      <c r="A6" s="2">
        <v>5</v>
      </c>
      <c r="B6" s="2" t="s">
        <v>54</v>
      </c>
      <c r="C6" s="5">
        <v>2</v>
      </c>
      <c r="D6" s="2" t="s">
        <v>117</v>
      </c>
      <c r="E6" s="4" t="s">
        <v>112</v>
      </c>
    </row>
    <row r="7" spans="1:5" x14ac:dyDescent="0.25">
      <c r="A7" s="2">
        <v>6</v>
      </c>
      <c r="B7" s="2" t="s">
        <v>55</v>
      </c>
      <c r="C7" s="5">
        <v>2</v>
      </c>
      <c r="D7" s="2" t="s">
        <v>118</v>
      </c>
      <c r="E7" s="4" t="s">
        <v>113</v>
      </c>
    </row>
    <row r="8" spans="1:5" x14ac:dyDescent="0.25">
      <c r="A8" s="2">
        <v>7</v>
      </c>
      <c r="B8" s="2" t="s">
        <v>56</v>
      </c>
      <c r="C8" s="5">
        <v>2</v>
      </c>
      <c r="D8" s="2" t="s">
        <v>119</v>
      </c>
      <c r="E8" s="4" t="s">
        <v>114</v>
      </c>
    </row>
    <row r="9" spans="1:5" x14ac:dyDescent="0.25">
      <c r="A9" s="2">
        <v>8</v>
      </c>
      <c r="B9" s="2" t="s">
        <v>57</v>
      </c>
      <c r="C9" s="5">
        <v>2</v>
      </c>
      <c r="D9" s="2" t="s">
        <v>120</v>
      </c>
      <c r="E9" s="4" t="s">
        <v>115</v>
      </c>
    </row>
    <row r="10" spans="1:5" x14ac:dyDescent="0.25">
      <c r="A10" s="2">
        <v>9</v>
      </c>
      <c r="B10" s="2" t="s">
        <v>58</v>
      </c>
      <c r="C10" s="5">
        <v>2</v>
      </c>
      <c r="D10" s="2" t="s">
        <v>121</v>
      </c>
      <c r="E10" s="4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A7646-843E-4226-B292-8F1A6CFC8D7E}">
  <dimension ref="A1:J21"/>
  <sheetViews>
    <sheetView workbookViewId="0">
      <selection activeCell="A2" sqref="A2:F21"/>
    </sheetView>
  </sheetViews>
  <sheetFormatPr defaultRowHeight="15" x14ac:dyDescent="0.25"/>
  <cols>
    <col min="1" max="1" width="12.5703125" bestFit="1" customWidth="1"/>
    <col min="2" max="2" width="38.7109375" bestFit="1" customWidth="1"/>
    <col min="3" max="3" width="10.28515625" customWidth="1"/>
    <col min="4" max="4" width="11" bestFit="1" customWidth="1"/>
    <col min="5" max="5" width="14.7109375" bestFit="1" customWidth="1"/>
    <col min="6" max="6" width="11.28515625" customWidth="1"/>
  </cols>
  <sheetData>
    <row r="1" spans="1:10" x14ac:dyDescent="0.25">
      <c r="A1" s="1" t="s">
        <v>122</v>
      </c>
      <c r="B1" s="1" t="s">
        <v>20</v>
      </c>
      <c r="C1" s="1" t="s">
        <v>123</v>
      </c>
      <c r="D1" s="1" t="s">
        <v>124</v>
      </c>
      <c r="E1" s="1" t="s">
        <v>125</v>
      </c>
      <c r="F1" s="1" t="s">
        <v>126</v>
      </c>
    </row>
    <row r="2" spans="1:10" x14ac:dyDescent="0.25">
      <c r="A2" s="2">
        <v>1</v>
      </c>
      <c r="B2" s="2" t="s">
        <v>59</v>
      </c>
      <c r="C2" s="5">
        <v>6</v>
      </c>
      <c r="D2" s="2">
        <v>1999</v>
      </c>
      <c r="E2" s="2">
        <v>498</v>
      </c>
      <c r="F2" s="2">
        <v>145000</v>
      </c>
    </row>
    <row r="3" spans="1:10" x14ac:dyDescent="0.25">
      <c r="A3" s="2">
        <v>2</v>
      </c>
      <c r="B3" s="2" t="s">
        <v>60</v>
      </c>
      <c r="C3" s="5">
        <v>6</v>
      </c>
      <c r="D3" s="2">
        <v>1986</v>
      </c>
      <c r="E3" s="2">
        <v>1138</v>
      </c>
      <c r="F3" s="2">
        <v>150000</v>
      </c>
    </row>
    <row r="4" spans="1:10" x14ac:dyDescent="0.25">
      <c r="A4" s="2">
        <v>3</v>
      </c>
      <c r="B4" s="2" t="s">
        <v>61</v>
      </c>
      <c r="C4" s="5">
        <v>6</v>
      </c>
      <c r="D4" s="2">
        <v>1983</v>
      </c>
      <c r="E4" s="2">
        <v>373</v>
      </c>
      <c r="F4" s="2">
        <v>28000</v>
      </c>
    </row>
    <row r="5" spans="1:10" x14ac:dyDescent="0.25">
      <c r="A5" s="2">
        <v>4</v>
      </c>
      <c r="B5" s="2" t="s">
        <v>62</v>
      </c>
      <c r="C5" s="5">
        <v>6</v>
      </c>
      <c r="D5" s="2">
        <v>2002</v>
      </c>
      <c r="E5" s="2">
        <v>736</v>
      </c>
      <c r="F5" s="2">
        <v>158000</v>
      </c>
    </row>
    <row r="6" spans="1:10" x14ac:dyDescent="0.25">
      <c r="A6" s="2">
        <v>5</v>
      </c>
      <c r="B6" s="2" t="s">
        <v>63</v>
      </c>
      <c r="C6" s="5">
        <v>6</v>
      </c>
      <c r="D6" s="2">
        <v>2014</v>
      </c>
      <c r="E6" s="2">
        <v>489</v>
      </c>
      <c r="F6" s="2">
        <v>250000</v>
      </c>
    </row>
    <row r="7" spans="1:10" x14ac:dyDescent="0.25">
      <c r="A7" s="2">
        <v>6</v>
      </c>
      <c r="B7" s="2" t="s">
        <v>64</v>
      </c>
      <c r="C7" s="5">
        <v>6</v>
      </c>
      <c r="D7" s="2">
        <v>2001</v>
      </c>
      <c r="E7" s="2">
        <v>127</v>
      </c>
      <c r="F7" s="2">
        <v>600000</v>
      </c>
    </row>
    <row r="8" spans="1:10" x14ac:dyDescent="0.25">
      <c r="A8" s="2">
        <v>7</v>
      </c>
      <c r="B8" s="2" t="s">
        <v>65</v>
      </c>
      <c r="C8" s="5">
        <v>9</v>
      </c>
      <c r="D8" s="2">
        <v>2015</v>
      </c>
      <c r="E8" s="2">
        <v>512</v>
      </c>
      <c r="F8" s="2">
        <v>950000</v>
      </c>
    </row>
    <row r="9" spans="1:10" x14ac:dyDescent="0.25">
      <c r="A9" s="2">
        <v>8</v>
      </c>
      <c r="B9" s="2" t="s">
        <v>66</v>
      </c>
      <c r="C9" s="5">
        <v>9</v>
      </c>
      <c r="D9" s="2">
        <v>1997</v>
      </c>
      <c r="E9" s="2">
        <v>456</v>
      </c>
      <c r="F9" s="2">
        <v>1000000</v>
      </c>
    </row>
    <row r="10" spans="1:10" x14ac:dyDescent="0.25">
      <c r="A10" s="2">
        <v>9</v>
      </c>
      <c r="B10" s="2" t="s">
        <v>67</v>
      </c>
      <c r="C10" s="5">
        <v>9</v>
      </c>
      <c r="D10" s="2">
        <v>2002</v>
      </c>
      <c r="E10" s="2">
        <v>636</v>
      </c>
      <c r="F10" s="2">
        <v>900000</v>
      </c>
    </row>
    <row r="11" spans="1:10" x14ac:dyDescent="0.25">
      <c r="A11" s="2">
        <v>10</v>
      </c>
      <c r="B11" s="2" t="s">
        <v>68</v>
      </c>
      <c r="C11" s="5">
        <v>9</v>
      </c>
      <c r="D11" s="2">
        <v>2004</v>
      </c>
      <c r="E11" s="2">
        <v>766</v>
      </c>
      <c r="F11" s="2">
        <v>125000</v>
      </c>
    </row>
    <row r="12" spans="1:10" x14ac:dyDescent="0.25">
      <c r="A12" s="2">
        <v>11</v>
      </c>
      <c r="B12" s="2" t="s">
        <v>69</v>
      </c>
      <c r="C12" s="5">
        <v>9</v>
      </c>
      <c r="D12" s="2">
        <v>2008</v>
      </c>
      <c r="E12" s="2">
        <v>607</v>
      </c>
      <c r="F12" s="2">
        <v>130000</v>
      </c>
    </row>
    <row r="13" spans="1:10" x14ac:dyDescent="0.25">
      <c r="A13" s="2">
        <v>12</v>
      </c>
      <c r="B13" s="2" t="s">
        <v>76</v>
      </c>
      <c r="C13" s="5">
        <v>4</v>
      </c>
      <c r="D13" s="2">
        <v>2008</v>
      </c>
      <c r="E13" s="2">
        <v>305</v>
      </c>
      <c r="F13" s="2">
        <v>150000</v>
      </c>
    </row>
    <row r="14" spans="1:10" x14ac:dyDescent="0.25">
      <c r="A14" s="2">
        <v>13</v>
      </c>
      <c r="B14" s="2" t="s">
        <v>77</v>
      </c>
      <c r="C14" s="5">
        <v>11</v>
      </c>
      <c r="D14" s="2">
        <v>2011</v>
      </c>
      <c r="E14" s="2">
        <v>144</v>
      </c>
      <c r="F14" s="2">
        <v>1200</v>
      </c>
    </row>
    <row r="15" spans="1:10" x14ac:dyDescent="0.25">
      <c r="A15" s="2">
        <v>14</v>
      </c>
      <c r="B15" s="2" t="s">
        <v>78</v>
      </c>
      <c r="C15" s="5">
        <v>7</v>
      </c>
      <c r="D15" s="2">
        <v>2008</v>
      </c>
      <c r="E15" s="2">
        <v>384</v>
      </c>
      <c r="F15" s="2">
        <v>15000</v>
      </c>
    </row>
    <row r="16" spans="1:10" x14ac:dyDescent="0.25">
      <c r="A16" s="2">
        <v>15</v>
      </c>
      <c r="B16" s="2" t="s">
        <v>70</v>
      </c>
      <c r="C16" s="5">
        <v>2</v>
      </c>
      <c r="D16" s="2">
        <v>2024</v>
      </c>
      <c r="E16" s="2">
        <v>28</v>
      </c>
      <c r="F16" s="2">
        <v>15000</v>
      </c>
      <c r="J16" t="s">
        <v>162</v>
      </c>
    </row>
    <row r="17" spans="1:6" x14ac:dyDescent="0.25">
      <c r="A17" s="2">
        <v>16</v>
      </c>
      <c r="B17" s="2" t="s">
        <v>71</v>
      </c>
      <c r="C17" s="5">
        <v>1</v>
      </c>
      <c r="D17" s="2">
        <v>2024</v>
      </c>
      <c r="E17" s="2">
        <v>16</v>
      </c>
      <c r="F17" s="2">
        <v>25000</v>
      </c>
    </row>
    <row r="18" spans="1:6" x14ac:dyDescent="0.25">
      <c r="A18" s="2">
        <v>17</v>
      </c>
      <c r="B18" s="2" t="s">
        <v>73</v>
      </c>
      <c r="C18" s="5">
        <v>10</v>
      </c>
      <c r="D18" s="2">
        <v>2024</v>
      </c>
      <c r="E18" s="2">
        <v>24</v>
      </c>
      <c r="F18" s="2">
        <v>18000</v>
      </c>
    </row>
    <row r="19" spans="1:6" x14ac:dyDescent="0.25">
      <c r="A19" s="2">
        <v>18</v>
      </c>
      <c r="B19" s="2" t="s">
        <v>72</v>
      </c>
      <c r="C19" s="5">
        <v>8</v>
      </c>
      <c r="D19" s="2">
        <v>2024</v>
      </c>
      <c r="E19" s="2">
        <v>20</v>
      </c>
      <c r="F19" s="2">
        <v>2500</v>
      </c>
    </row>
    <row r="20" spans="1:6" x14ac:dyDescent="0.25">
      <c r="A20" s="2">
        <v>19</v>
      </c>
      <c r="B20" s="2" t="s">
        <v>74</v>
      </c>
      <c r="C20" s="5">
        <v>5</v>
      </c>
      <c r="D20" s="2">
        <v>2024</v>
      </c>
      <c r="E20" s="2">
        <v>5</v>
      </c>
      <c r="F20" s="2">
        <v>15000</v>
      </c>
    </row>
    <row r="21" spans="1:6" x14ac:dyDescent="0.25">
      <c r="A21" s="2">
        <v>20</v>
      </c>
      <c r="B21" s="2" t="s">
        <v>75</v>
      </c>
      <c r="C21" s="5">
        <v>3</v>
      </c>
      <c r="D21" s="2">
        <v>2024</v>
      </c>
      <c r="E21" s="2">
        <v>2</v>
      </c>
      <c r="F21" s="2">
        <v>1500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95585-07C1-49D1-B9AF-75B83B4FD6B1}">
  <dimension ref="A1:D18"/>
  <sheetViews>
    <sheetView workbookViewId="0">
      <selection activeCell="A2" sqref="A2:D18"/>
    </sheetView>
  </sheetViews>
  <sheetFormatPr defaultRowHeight="15" x14ac:dyDescent="0.25"/>
  <cols>
    <col min="2" max="2" width="37.5703125" bestFit="1" customWidth="1"/>
    <col min="3" max="3" width="52.7109375" bestFit="1" customWidth="1"/>
    <col min="4" max="4" width="17.5703125" customWidth="1"/>
  </cols>
  <sheetData>
    <row r="1" spans="1:4" x14ac:dyDescent="0.25">
      <c r="A1" s="1" t="s">
        <v>127</v>
      </c>
      <c r="B1" s="1" t="s">
        <v>80</v>
      </c>
      <c r="C1" s="1" t="s">
        <v>21</v>
      </c>
      <c r="D1" s="1" t="s">
        <v>101</v>
      </c>
    </row>
    <row r="2" spans="1:4" x14ac:dyDescent="0.25">
      <c r="A2" s="2">
        <v>1</v>
      </c>
      <c r="B2" s="2" t="s">
        <v>83</v>
      </c>
      <c r="C2" s="2" t="s">
        <v>138</v>
      </c>
      <c r="D2" s="4" t="s">
        <v>104</v>
      </c>
    </row>
    <row r="3" spans="1:4" x14ac:dyDescent="0.25">
      <c r="A3" s="2">
        <v>2</v>
      </c>
      <c r="B3" s="2" t="s">
        <v>84</v>
      </c>
      <c r="C3" s="2" t="s">
        <v>132</v>
      </c>
      <c r="D3" s="4" t="s">
        <v>140</v>
      </c>
    </row>
    <row r="4" spans="1:4" x14ac:dyDescent="0.25">
      <c r="A4" s="2">
        <v>3</v>
      </c>
      <c r="B4" s="2" t="s">
        <v>85</v>
      </c>
      <c r="C4" s="2" t="s">
        <v>133</v>
      </c>
      <c r="D4" s="4" t="s">
        <v>137</v>
      </c>
    </row>
    <row r="5" spans="1:4" x14ac:dyDescent="0.25">
      <c r="A5" s="2">
        <v>4</v>
      </c>
      <c r="B5" s="2" t="s">
        <v>86</v>
      </c>
      <c r="C5" s="2" t="s">
        <v>142</v>
      </c>
      <c r="D5" s="4" t="s">
        <v>108</v>
      </c>
    </row>
    <row r="6" spans="1:4" x14ac:dyDescent="0.25">
      <c r="A6" s="2">
        <v>5</v>
      </c>
      <c r="B6" s="2" t="s">
        <v>87</v>
      </c>
      <c r="C6" s="2" t="s">
        <v>134</v>
      </c>
      <c r="D6" s="4" t="s">
        <v>143</v>
      </c>
    </row>
    <row r="7" spans="1:4" x14ac:dyDescent="0.25">
      <c r="A7" s="2">
        <v>6</v>
      </c>
      <c r="B7" s="2" t="s">
        <v>88</v>
      </c>
      <c r="C7" s="2" t="s">
        <v>139</v>
      </c>
      <c r="D7" s="4" t="s">
        <v>113</v>
      </c>
    </row>
    <row r="8" spans="1:4" x14ac:dyDescent="0.25">
      <c r="A8" s="2">
        <v>7</v>
      </c>
      <c r="B8" s="2" t="s">
        <v>89</v>
      </c>
      <c r="C8" s="2" t="s">
        <v>141</v>
      </c>
      <c r="D8" s="4" t="s">
        <v>114</v>
      </c>
    </row>
    <row r="9" spans="1:4" x14ac:dyDescent="0.25">
      <c r="A9" s="2">
        <v>8</v>
      </c>
      <c r="B9" s="2" t="s">
        <v>90</v>
      </c>
      <c r="C9" s="2" t="s">
        <v>135</v>
      </c>
      <c r="D9" s="4" t="s">
        <v>145</v>
      </c>
    </row>
    <row r="10" spans="1:4" x14ac:dyDescent="0.25">
      <c r="A10" s="2">
        <v>9</v>
      </c>
      <c r="B10" s="2" t="s">
        <v>91</v>
      </c>
      <c r="C10" s="2" t="s">
        <v>144</v>
      </c>
      <c r="D10" s="4" t="s">
        <v>146</v>
      </c>
    </row>
    <row r="11" spans="1:4" x14ac:dyDescent="0.25">
      <c r="A11" s="2">
        <v>10</v>
      </c>
      <c r="B11" s="2" t="s">
        <v>92</v>
      </c>
      <c r="C11" s="2" t="s">
        <v>136</v>
      </c>
      <c r="D11" s="4" t="s">
        <v>147</v>
      </c>
    </row>
    <row r="12" spans="1:4" x14ac:dyDescent="0.25">
      <c r="A12" s="2">
        <v>11</v>
      </c>
      <c r="B12" s="2" t="s">
        <v>93</v>
      </c>
      <c r="C12" s="2" t="s">
        <v>150</v>
      </c>
      <c r="D12" s="4" t="s">
        <v>151</v>
      </c>
    </row>
    <row r="13" spans="1:4" x14ac:dyDescent="0.25">
      <c r="A13" s="2">
        <v>12</v>
      </c>
      <c r="B13" s="2" t="s">
        <v>94</v>
      </c>
      <c r="C13" s="2" t="s">
        <v>152</v>
      </c>
      <c r="D13" s="4" t="s">
        <v>153</v>
      </c>
    </row>
    <row r="14" spans="1:4" x14ac:dyDescent="0.25">
      <c r="A14" s="2">
        <v>13</v>
      </c>
      <c r="B14" s="2" t="s">
        <v>95</v>
      </c>
      <c r="C14" s="2" t="s">
        <v>154</v>
      </c>
      <c r="D14" s="4" t="s">
        <v>155</v>
      </c>
    </row>
    <row r="15" spans="1:4" x14ac:dyDescent="0.25">
      <c r="A15" s="2">
        <v>14</v>
      </c>
      <c r="B15" s="2" t="s">
        <v>96</v>
      </c>
      <c r="C15" s="2" t="s">
        <v>160</v>
      </c>
      <c r="D15" s="4" t="s">
        <v>158</v>
      </c>
    </row>
    <row r="16" spans="1:4" x14ac:dyDescent="0.25">
      <c r="A16" s="2">
        <v>15</v>
      </c>
      <c r="B16" s="2" t="s">
        <v>97</v>
      </c>
      <c r="C16" s="2" t="s">
        <v>161</v>
      </c>
      <c r="D16" s="4" t="s">
        <v>159</v>
      </c>
    </row>
    <row r="17" spans="1:4" x14ac:dyDescent="0.25">
      <c r="A17" s="2">
        <v>16</v>
      </c>
      <c r="B17" s="2" t="s">
        <v>98</v>
      </c>
      <c r="C17" s="2" t="s">
        <v>156</v>
      </c>
      <c r="D17" s="4" t="s">
        <v>157</v>
      </c>
    </row>
    <row r="18" spans="1:4" x14ac:dyDescent="0.25">
      <c r="A18" s="2">
        <v>17</v>
      </c>
      <c r="B18" s="2" t="s">
        <v>99</v>
      </c>
      <c r="C18" s="2" t="s">
        <v>148</v>
      </c>
      <c r="D18" s="4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B7D23-FE91-48D4-87CC-970F8B4519A4}">
  <dimension ref="A1:B3"/>
  <sheetViews>
    <sheetView workbookViewId="0">
      <selection activeCell="B3" sqref="B3"/>
    </sheetView>
  </sheetViews>
  <sheetFormatPr defaultRowHeight="15" x14ac:dyDescent="0.25"/>
  <cols>
    <col min="1" max="1" width="18.42578125" customWidth="1"/>
    <col min="2" max="2" width="18.28515625" customWidth="1"/>
  </cols>
  <sheetData>
    <row r="1" spans="1:2" x14ac:dyDescent="0.25">
      <c r="A1" s="1" t="s">
        <v>163</v>
      </c>
      <c r="B1" s="1" t="s">
        <v>164</v>
      </c>
    </row>
    <row r="2" spans="1:2" x14ac:dyDescent="0.25">
      <c r="A2" s="2">
        <v>1</v>
      </c>
      <c r="B2" s="2" t="s">
        <v>103</v>
      </c>
    </row>
    <row r="3" spans="1:2" x14ac:dyDescent="0.25">
      <c r="A3" s="2">
        <v>2</v>
      </c>
      <c r="B3" s="2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Authors</vt:lpstr>
      <vt:lpstr>TypesOfProducts</vt:lpstr>
      <vt:lpstr>Orders</vt:lpstr>
      <vt:lpstr>Customers</vt:lpstr>
      <vt:lpstr>Publications</vt:lpstr>
      <vt:lpstr>Offices</vt:lpstr>
      <vt:lpstr>TypesOfCustomers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Airon</dc:creator>
  <cp:lastModifiedBy>Иван Кутовой</cp:lastModifiedBy>
  <dcterms:created xsi:type="dcterms:W3CDTF">2015-06-05T18:19:34Z</dcterms:created>
  <dcterms:modified xsi:type="dcterms:W3CDTF">2025-12-15T17:02:40Z</dcterms:modified>
</cp:coreProperties>
</file>